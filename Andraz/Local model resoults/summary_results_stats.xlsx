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<sst xmlns="http://schemas.openxmlformats.org/spreadsheetml/2006/main" count="20" uniqueCount="20">
  <si>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user_id</t>
  </si>
  <si>
    <t xml:space="preserve">cluster_id</t>
  </si>
  <si>
    <t xml:space="preserve">no_battery_cost</t>
  </si>
  <si>
    <t xml:space="preserve">milp_cost</t>
  </si>
  <si>
    <t xml:space="preserve">basic_dqn_cost</t>
  </si>
  <si>
    <t xml:space="preserve">basic_dqn_reward</t>
  </si>
  <si>
    <t xml:space="preserve">basic_dqn_improvement_pct</t>
  </si>
  <si>
    <t xml:space="preserve">basic_milp_improvement_pct</t>
  </si>
  <si>
    <t xml:space="preserve">basic_dqn_gap_vs_milp_pct</t>
  </si>
  <si>
    <t xml:space="preserve">basic_dqn_fraction_theoretical_pct</t>
  </si>
  <si>
    <t xml:space="preserve">extended_dqn_cost</t>
  </si>
  <si>
    <t xml:space="preserve">extended_dqn_reward</t>
  </si>
  <si>
    <t xml:space="preserve">extended_dqn_improvement_pct</t>
  </si>
  <si>
    <t xml:space="preserve">extended_dqn_gap_vs_milp_pct</t>
  </si>
  <si>
    <t xml:space="preserve">extended_dqn_fraction_theoretical_pct</t>
  </si>
  <si>
    <t xml:space="preserve">Summary Statistics</t>
  </si>
  <si>
    <t xml:space="preserve">Mean</t>
  </si>
  <si>
    <t xml:space="preserve">Max</t>
  </si>
  <si>
    <t xml:space="preserve">Min</t>
  </si>
  <si>
    <t xml:space="preserve">Median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</si>
</sst>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"/>
    <numFmt numFmtId="167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.5"/>
    <col collapsed="false" customWidth="true" hidden="false" outlineLevel="0" max="3" min="3" style="0" width="15.25"/>
    <col collapsed="false" customWidth="true" hidden="false" outlineLevel="0" max="4" min="4" style="0" width="11"/>
    <col collapsed="false" customWidth="true" hidden="false" outlineLevel="0" max="5" min="5" style="0" width="14.51"/>
    <col collapsed="false" customWidth="true" hidden="false" outlineLevel="0" max="15" min="6" style="0" width="16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138</v>
      </c>
      <c r="B2" s="2" t="n">
        <v>0</v>
      </c>
      <c r="C2" s="3" t="n">
        <v>1733.65111993994</v>
      </c>
      <c r="D2" s="3" t="n">
        <v>1250.01160014628</v>
      </c>
      <c r="E2" s="3" t="n">
        <v>1894.25856529302</v>
      </c>
      <c r="F2" s="3" t="n">
        <v>-803.745813864876</v>
      </c>
      <c r="G2" s="3" t="n">
        <v>-9.26411568658902</v>
      </c>
      <c r="H2" s="3" t="n">
        <v>27.8971653656831</v>
      </c>
      <c r="I2" s="3" t="n">
        <v>51.5392789211999</v>
      </c>
      <c r="J2" s="3" t="n">
        <v>-33.2080896576862</v>
      </c>
      <c r="K2" s="3" t="n">
        <v>1617.43516644725</v>
      </c>
      <c r="L2" s="3" t="n">
        <v>-600.231189586251</v>
      </c>
      <c r="M2" s="3" t="n">
        <v>6.70353753162962</v>
      </c>
      <c r="N2" s="3" t="n">
        <v>29.3936125279137</v>
      </c>
      <c r="O2" s="3" t="n">
        <v>24.0294576304006</v>
      </c>
    </row>
    <row r="3" customFormat="false" ht="15" hidden="false" customHeight="false" outlineLevel="0" collapsed="false">
      <c r="A3" s="2" t="n">
        <v>127</v>
      </c>
      <c r="B3" s="2" t="n">
        <v>1</v>
      </c>
      <c r="C3" s="3" t="n">
        <v>1421.49447852347</v>
      </c>
      <c r="D3" s="3" t="n">
        <v>1119.70987356687</v>
      </c>
      <c r="E3" s="3" t="n">
        <v>1386.88284511028</v>
      </c>
      <c r="F3" s="3" t="n">
        <v>-2833.63598875056</v>
      </c>
      <c r="G3" s="3" t="n">
        <v>2.4348763879225</v>
      </c>
      <c r="H3" s="3" t="n">
        <v>21.230093364138</v>
      </c>
      <c r="I3" s="3" t="n">
        <v>23.8609105671562</v>
      </c>
      <c r="J3" s="3" t="n">
        <v>11.4689857748601</v>
      </c>
      <c r="K3" s="3" t="n">
        <v>1242.9415728897</v>
      </c>
      <c r="L3" s="3" t="n">
        <v>-335.672693612687</v>
      </c>
      <c r="M3" s="3" t="n">
        <v>12.5609285390426</v>
      </c>
      <c r="N3" s="3" t="n">
        <v>11.0056812243935</v>
      </c>
      <c r="O3" s="3" t="n">
        <v>59.1656773411117</v>
      </c>
    </row>
    <row r="4" customFormat="false" ht="15" hidden="false" customHeight="false" outlineLevel="0" collapsed="false">
      <c r="A4" s="2" t="n">
        <v>65</v>
      </c>
      <c r="B4" s="2" t="n">
        <v>2</v>
      </c>
      <c r="C4" s="3" t="n">
        <v>1649.15347503442</v>
      </c>
      <c r="D4" s="3" t="n">
        <v>1233.60254753598</v>
      </c>
      <c r="E4" s="3" t="n">
        <v>1524.87926958785</v>
      </c>
      <c r="F4" s="3" t="n">
        <v>-511.883754049063</v>
      </c>
      <c r="G4" s="3" t="n">
        <v>7.5356361507815</v>
      </c>
      <c r="H4" s="3" t="n">
        <v>25.1978323296907</v>
      </c>
      <c r="I4" s="3" t="n">
        <v>23.6118774749355</v>
      </c>
      <c r="J4" s="3" t="n">
        <v>29.9058905233774</v>
      </c>
      <c r="K4" s="3" t="n">
        <v>1405.82221542559</v>
      </c>
      <c r="L4" s="3" t="n">
        <v>-437.973095197625</v>
      </c>
      <c r="M4" s="3" t="n">
        <v>14.7549190110247</v>
      </c>
      <c r="N4" s="3" t="n">
        <v>13.9607094873149</v>
      </c>
      <c r="O4" s="3" t="n">
        <v>58.5563028516501</v>
      </c>
    </row>
    <row r="5" customFormat="false" ht="15" hidden="false" customHeight="false" outlineLevel="0" collapsed="false">
      <c r="A5" s="2" t="n">
        <v>148</v>
      </c>
      <c r="B5" s="2" t="n">
        <v>3</v>
      </c>
      <c r="C5" s="3" t="n">
        <v>1959.88579483324</v>
      </c>
      <c r="D5" s="3" t="n">
        <v>1372.17147747063</v>
      </c>
      <c r="E5" s="3" t="n">
        <v>1724.71460578008</v>
      </c>
      <c r="F5" s="3" t="n">
        <v>-1045.28083916925</v>
      </c>
      <c r="G5" s="3" t="n">
        <v>11.9992292241281</v>
      </c>
      <c r="H5" s="3" t="n">
        <v>29.98717164602</v>
      </c>
      <c r="I5" s="3" t="n">
        <v>25.692352165729</v>
      </c>
      <c r="J5" s="3" t="n">
        <v>40.0145414371572</v>
      </c>
      <c r="K5" s="3" t="n">
        <v>1733.41151180978</v>
      </c>
      <c r="L5" s="3" t="n">
        <v>-645.216405437811</v>
      </c>
      <c r="M5" s="3" t="n">
        <v>11.5554836725951</v>
      </c>
      <c r="N5" s="3" t="n">
        <v>26.3261582295112</v>
      </c>
      <c r="O5" s="3" t="n">
        <v>38.5347568253534</v>
      </c>
    </row>
    <row r="6" customFormat="false" ht="15" hidden="false" customHeight="false" outlineLevel="0" collapsed="false">
      <c r="A6" s="2" t="n">
        <v>223</v>
      </c>
      <c r="B6" s="2" t="n">
        <v>4</v>
      </c>
      <c r="C6" s="3" t="n">
        <v>1510.40958571576</v>
      </c>
      <c r="D6" s="3" t="n">
        <v>1027.8768689926</v>
      </c>
      <c r="E6" s="3" t="n">
        <v>1401.51983529879</v>
      </c>
      <c r="F6" s="3" t="n">
        <v>-435.284107618436</v>
      </c>
      <c r="G6" s="3" t="n">
        <v>7.20928623909484</v>
      </c>
      <c r="H6" s="3" t="n">
        <v>31.9471434296082</v>
      </c>
      <c r="I6" s="3" t="n">
        <v>36.3509460692885</v>
      </c>
      <c r="J6" s="3" t="n">
        <v>22.5662937751529</v>
      </c>
      <c r="K6" s="3" t="n">
        <v>1201.37026355357</v>
      </c>
      <c r="L6" s="3" t="n">
        <v>-324.190625277624</v>
      </c>
      <c r="M6" s="3" t="n">
        <v>20.460630353835</v>
      </c>
      <c r="N6" s="3" t="n">
        <v>16.8788110516595</v>
      </c>
      <c r="O6" s="3" t="n">
        <v>64.0452577518161</v>
      </c>
    </row>
    <row r="7" customFormat="false" ht="15" hidden="false" customHeight="false" outlineLevel="0" collapsed="false">
      <c r="A7" s="2" t="n">
        <v>179</v>
      </c>
      <c r="B7" s="2" t="n">
        <v>5</v>
      </c>
      <c r="C7" s="3" t="n">
        <v>1391.54317001915</v>
      </c>
      <c r="D7" s="3" t="n">
        <v>1076.8934849397</v>
      </c>
      <c r="E7" s="3" t="n">
        <v>1514.11758463202</v>
      </c>
      <c r="F7" s="3" t="n">
        <v>-545.157700951688</v>
      </c>
      <c r="G7" s="3" t="n">
        <v>-8.8085240367482</v>
      </c>
      <c r="H7" s="3" t="n">
        <v>22.6115647619558</v>
      </c>
      <c r="I7" s="3" t="n">
        <v>40.6004963171266</v>
      </c>
      <c r="J7" s="3" t="n">
        <v>-38.9558357835041</v>
      </c>
      <c r="K7" s="3" t="n">
        <v>1258.3850738494</v>
      </c>
      <c r="L7" s="3" t="n">
        <v>-446.3248817125</v>
      </c>
      <c r="M7" s="3" t="n">
        <v>9.5690955939165</v>
      </c>
      <c r="N7" s="3" t="n">
        <v>16.853253497013</v>
      </c>
      <c r="O7" s="3" t="n">
        <v>42.3194754306283</v>
      </c>
    </row>
    <row r="8" customFormat="false" ht="15" hidden="false" customHeight="false" outlineLevel="0" collapsed="false">
      <c r="A8" s="2" t="n">
        <v>261</v>
      </c>
      <c r="B8" s="2" t="n">
        <v>6</v>
      </c>
      <c r="C8" s="3" t="n">
        <v>1186.96218445812</v>
      </c>
      <c r="D8" s="3" t="n">
        <v>956.419213556919</v>
      </c>
      <c r="E8" s="3" t="n">
        <v>2054.98609951047</v>
      </c>
      <c r="F8" s="3" t="n">
        <v>-980.700522750748</v>
      </c>
      <c r="G8" s="3" t="n">
        <v>-73.1298710622893</v>
      </c>
      <c r="H8" s="3" t="n">
        <v>19.4229415157358</v>
      </c>
      <c r="I8" s="3" t="n">
        <v>114.862486071143</v>
      </c>
      <c r="J8" s="3" t="n">
        <v>-376.51285209834</v>
      </c>
      <c r="K8" s="3" t="n">
        <v>1070.91444072086</v>
      </c>
      <c r="L8" s="3" t="n">
        <v>-228.155736007125</v>
      </c>
      <c r="M8" s="3" t="n">
        <v>9.77686949565632</v>
      </c>
      <c r="N8" s="3" t="n">
        <v>11.9712387142591</v>
      </c>
      <c r="O8" s="3" t="n">
        <v>50.3367087201259</v>
      </c>
    </row>
    <row r="9" customFormat="false" ht="15" hidden="false" customHeight="false" outlineLevel="0" collapsed="false">
      <c r="A9" s="2" t="n">
        <v>142</v>
      </c>
      <c r="B9" s="2" t="n">
        <v>7</v>
      </c>
      <c r="C9" s="3" t="n">
        <v>1157.10990604885</v>
      </c>
      <c r="D9" s="3" t="n">
        <v>852.291434277183</v>
      </c>
      <c r="E9" s="3" t="n">
        <v>1013.09940975589</v>
      </c>
      <c r="F9" s="3" t="n">
        <v>-192.021341654</v>
      </c>
      <c r="G9" s="3" t="n">
        <v>12.4457059385743</v>
      </c>
      <c r="H9" s="3" t="n">
        <v>26.3430872191319</v>
      </c>
      <c r="I9" s="3" t="n">
        <v>18.8677216514664</v>
      </c>
      <c r="J9" s="3" t="n">
        <v>47.2446749883419</v>
      </c>
      <c r="K9" s="3" t="n">
        <v>992.753828512013</v>
      </c>
      <c r="L9" s="3" t="n">
        <v>-179.305353376563</v>
      </c>
      <c r="M9" s="3" t="n">
        <v>14.2040161161574</v>
      </c>
      <c r="N9" s="3" t="n">
        <v>16.4805591826644</v>
      </c>
      <c r="O9" s="3" t="n">
        <v>53.9193299479402</v>
      </c>
    </row>
    <row r="10" customFormat="false" ht="15" hidden="false" customHeight="false" outlineLevel="0" collapsed="false">
      <c r="A10" s="2" t="n">
        <v>128</v>
      </c>
      <c r="B10" s="2" t="n">
        <v>8</v>
      </c>
      <c r="C10" s="3" t="n">
        <v>1575.33238092014</v>
      </c>
      <c r="D10" s="3" t="n">
        <v>1207.66021417365</v>
      </c>
      <c r="E10" s="3" t="n">
        <v>1499.15745120205</v>
      </c>
      <c r="F10" s="3" t="n">
        <v>-495.807617557937</v>
      </c>
      <c r="G10" s="3" t="n">
        <v>4.83548301556502</v>
      </c>
      <c r="H10" s="3" t="n">
        <v>23.3393391261172</v>
      </c>
      <c r="I10" s="3" t="n">
        <v>24.137355326213</v>
      </c>
      <c r="J10" s="3" t="n">
        <v>20.7181659662077</v>
      </c>
      <c r="K10" s="3" t="n">
        <v>1332.51413630289</v>
      </c>
      <c r="L10" s="3" t="n">
        <v>-391.655545745937</v>
      </c>
      <c r="M10" s="3" t="n">
        <v>15.4137785497322</v>
      </c>
      <c r="N10" s="3" t="n">
        <v>10.3384975892963</v>
      </c>
      <c r="O10" s="3" t="n">
        <v>66.0420522896635</v>
      </c>
    </row>
    <row r="11" customFormat="false" ht="15" hidden="false" customHeight="false" outlineLevel="0" collapsed="false">
      <c r="A11" s="2" t="n">
        <v>168</v>
      </c>
      <c r="B11" s="2" t="n">
        <v>9</v>
      </c>
      <c r="C11" s="3" t="n">
        <v>1139.74118955884</v>
      </c>
      <c r="D11" s="3" t="n">
        <v>889.773935607745</v>
      </c>
      <c r="E11" s="3" t="n">
        <v>1070.09844217776</v>
      </c>
      <c r="F11" s="3" t="n">
        <v>-336.145736917687</v>
      </c>
      <c r="G11" s="3" t="n">
        <v>6.1104001521638</v>
      </c>
      <c r="H11" s="3" t="n">
        <v>21.9319312350066</v>
      </c>
      <c r="I11" s="3" t="n">
        <v>20.2663282608797</v>
      </c>
      <c r="J11" s="3" t="n">
        <v>27.8607482701327</v>
      </c>
      <c r="K11" s="3" t="n">
        <v>978.140583343498</v>
      </c>
      <c r="L11" s="3" t="n">
        <v>-170.172075146251</v>
      </c>
      <c r="M11" s="3" t="n">
        <v>14.1787107192194</v>
      </c>
      <c r="N11" s="3" t="n">
        <v>9.93135943855175</v>
      </c>
      <c r="O11" s="3" t="n">
        <v>64.6487104454717</v>
      </c>
    </row>
    <row r="12" customFormat="false" ht="15" hidden="false" customHeight="false" outlineLevel="0" collapsed="false">
      <c r="A12" s="2" t="n">
        <v>249</v>
      </c>
      <c r="B12" s="2" t="n">
        <v>10</v>
      </c>
      <c r="C12" s="3" t="n">
        <v>1971.50471697524</v>
      </c>
      <c r="D12" s="3" t="n">
        <v>1336.95558798332</v>
      </c>
      <c r="E12" s="3" t="n">
        <v>1741.79343153877</v>
      </c>
      <c r="F12" s="3" t="n">
        <v>-977.455105268439</v>
      </c>
      <c r="G12" s="3" t="n">
        <v>11.6515716882937</v>
      </c>
      <c r="H12" s="3" t="n">
        <v>32.1860314879422</v>
      </c>
      <c r="I12" s="3" t="n">
        <v>30.2805753006437</v>
      </c>
      <c r="J12" s="3" t="n">
        <v>36.2007092817849</v>
      </c>
      <c r="K12" s="3" t="n">
        <v>1498.95164098283</v>
      </c>
      <c r="L12" s="3" t="n">
        <v>-495.678986170938</v>
      </c>
      <c r="M12" s="3" t="n">
        <v>23.9691577668357</v>
      </c>
      <c r="N12" s="3" t="n">
        <v>12.1167864105246</v>
      </c>
      <c r="O12" s="3" t="n">
        <v>74.4706838922198</v>
      </c>
    </row>
    <row r="13" customFormat="false" ht="15" hidden="false" customHeight="false" outlineLevel="0" collapsed="false">
      <c r="A13" s="2" t="n">
        <v>81</v>
      </c>
      <c r="B13" s="2" t="n">
        <v>11</v>
      </c>
      <c r="C13" s="3" t="n">
        <v>1036.08306825964</v>
      </c>
      <c r="D13" s="3" t="n">
        <v>822.665131872141</v>
      </c>
      <c r="E13" s="3" t="n">
        <v>1015.67743365085</v>
      </c>
      <c r="F13" s="3" t="n">
        <v>-196.632606588375</v>
      </c>
      <c r="G13" s="3" t="n">
        <v>1.96949793254188</v>
      </c>
      <c r="H13" s="3" t="n">
        <v>20.598535284047</v>
      </c>
      <c r="I13" s="3" t="n">
        <v>23.4618308593522</v>
      </c>
      <c r="J13" s="3" t="n">
        <v>9.56134941335951</v>
      </c>
      <c r="K13" s="3" t="n">
        <v>941.884422224984</v>
      </c>
      <c r="L13" s="3" t="n">
        <v>-147.511974447187</v>
      </c>
      <c r="M13" s="3" t="n">
        <v>9.09180440453342</v>
      </c>
      <c r="N13" s="3" t="n">
        <v>14.4918370469325</v>
      </c>
      <c r="O13" s="3" t="n">
        <v>44.1381111771321</v>
      </c>
    </row>
    <row r="14" customFormat="false" ht="15" hidden="false" customHeight="false" outlineLevel="0" collapsed="false">
      <c r="A14" s="2" t="n">
        <v>104</v>
      </c>
      <c r="B14" s="2" t="n">
        <v>12</v>
      </c>
      <c r="C14" s="3" t="n">
        <v>2865.22209653158</v>
      </c>
      <c r="D14" s="3" t="n">
        <v>2268.69336397533</v>
      </c>
      <c r="E14" s="3" t="n">
        <v>2800.53896436839</v>
      </c>
      <c r="F14" s="3" t="n">
        <v>-1341.671063287</v>
      </c>
      <c r="G14" s="3" t="n">
        <v>2.25752594332874</v>
      </c>
      <c r="H14" s="3" t="n">
        <v>20.8196332590887</v>
      </c>
      <c r="I14" s="3" t="n">
        <v>23.4428155359492</v>
      </c>
      <c r="J14" s="3" t="n">
        <v>10.8432550911685</v>
      </c>
      <c r="K14" s="3" t="n">
        <v>2713.60452891359</v>
      </c>
      <c r="L14" s="3" t="n">
        <v>-1264.83704112775</v>
      </c>
      <c r="M14" s="3" t="n">
        <v>5.29165148494167</v>
      </c>
      <c r="N14" s="3" t="n">
        <v>19.610899031267</v>
      </c>
      <c r="O14" s="3" t="n">
        <v>25.4166412015525</v>
      </c>
    </row>
    <row r="15" customFormat="false" ht="15" hidden="false" customHeight="false" outlineLevel="0" collapsed="false">
      <c r="A15" s="2" t="n">
        <v>172</v>
      </c>
      <c r="B15" s="2" t="n">
        <v>13</v>
      </c>
      <c r="C15" s="3" t="n">
        <v>1394.5885356946</v>
      </c>
      <c r="D15" s="3" t="n">
        <v>1071.8007716541</v>
      </c>
      <c r="E15" s="3" t="n">
        <v>1334.79907674162</v>
      </c>
      <c r="F15" s="3" t="n">
        <v>-394.583633520125</v>
      </c>
      <c r="G15" s="3" t="n">
        <v>4.28724727205667</v>
      </c>
      <c r="H15" s="3" t="n">
        <v>23.1457348012491</v>
      </c>
      <c r="I15" s="3" t="n">
        <v>24.5379843010962</v>
      </c>
      <c r="J15" s="3" t="n">
        <v>18.5228393432786</v>
      </c>
      <c r="K15" s="3" t="n">
        <v>1199.03464332263</v>
      </c>
      <c r="L15" s="3" t="n">
        <v>-310.730862633251</v>
      </c>
      <c r="M15" s="3" t="n">
        <v>14.0223361491042</v>
      </c>
      <c r="N15" s="3" t="n">
        <v>11.8710375130789</v>
      </c>
      <c r="O15" s="3" t="n">
        <v>60.5828083208984</v>
      </c>
    </row>
    <row r="16" customFormat="false" ht="15" hidden="false" customHeight="false" outlineLevel="0" collapsed="false">
      <c r="A16" s="2" t="n">
        <v>29</v>
      </c>
      <c r="B16" s="2" t="n">
        <v>14</v>
      </c>
      <c r="C16" s="3" t="n">
        <v>1458.99601612521</v>
      </c>
      <c r="D16" s="3" t="n">
        <v>1040.62259367772</v>
      </c>
      <c r="E16" s="3" t="n">
        <v>1351.26859975505</v>
      </c>
      <c r="F16" s="3" t="n">
        <v>-531.377085403564</v>
      </c>
      <c r="G16" s="3" t="n">
        <v>7.38366761660248</v>
      </c>
      <c r="H16" s="3" t="n">
        <v>28.6754328197965</v>
      </c>
      <c r="I16" s="3" t="n">
        <v>29.8519374809522</v>
      </c>
      <c r="J16" s="3" t="n">
        <v>25.7491060832569</v>
      </c>
      <c r="K16" s="3" t="n">
        <v>1183.10108135432</v>
      </c>
      <c r="L16" s="3" t="n">
        <v>-300.772386403062</v>
      </c>
      <c r="M16" s="3" t="n">
        <v>18.9099169375125</v>
      </c>
      <c r="N16" s="3" t="n">
        <v>13.6916581037376</v>
      </c>
      <c r="O16" s="3" t="n">
        <v>65.9446609100795</v>
      </c>
    </row>
    <row r="17" customFormat="false" ht="15" hidden="false" customHeight="false" outlineLevel="0" collapsed="false">
      <c r="A17" s="2" t="n">
        <v>27</v>
      </c>
      <c r="B17" s="2" t="n">
        <v>15</v>
      </c>
      <c r="C17" s="3" t="n">
        <v>1604.50218744411</v>
      </c>
      <c r="D17" s="3" t="n">
        <v>1228.08972058364</v>
      </c>
      <c r="E17" s="3" t="n">
        <v>1534.23163241113</v>
      </c>
      <c r="F17" s="3" t="n">
        <v>-531.228980813626</v>
      </c>
      <c r="G17" s="3" t="n">
        <v>4.37958611604791</v>
      </c>
      <c r="H17" s="3" t="n">
        <v>23.4597665123833</v>
      </c>
      <c r="I17" s="3" t="n">
        <v>24.9283017923147</v>
      </c>
      <c r="J17" s="3" t="n">
        <v>18.6684983149177</v>
      </c>
      <c r="K17" s="3" t="n">
        <v>1438.93879520464</v>
      </c>
      <c r="L17" s="3" t="n">
        <v>-458.170957559564</v>
      </c>
      <c r="M17" s="3" t="n">
        <v>10.3186766297405</v>
      </c>
      <c r="N17" s="3" t="n">
        <v>17.1688656852202</v>
      </c>
      <c r="O17" s="3" t="n">
        <v>43.9845666166103</v>
      </c>
    </row>
    <row r="18" customFormat="false" ht="15" hidden="false" customHeight="false" outlineLevel="0" collapsed="false">
      <c r="A18" s="2" t="n">
        <v>156</v>
      </c>
      <c r="B18" s="2" t="n">
        <v>16</v>
      </c>
      <c r="C18" s="3" t="n">
        <v>1786.82813655807</v>
      </c>
      <c r="D18" s="3" t="n">
        <v>1342.51195113341</v>
      </c>
      <c r="E18" s="3" t="n">
        <v>1746.42699760758</v>
      </c>
      <c r="F18" s="3" t="n">
        <v>-651.351084061438</v>
      </c>
      <c r="G18" s="3" t="n">
        <v>2.261053434513</v>
      </c>
      <c r="H18" s="3" t="n">
        <v>24.8661959331208</v>
      </c>
      <c r="I18" s="3" t="n">
        <v>30.086514025679</v>
      </c>
      <c r="J18" s="3" t="n">
        <v>9.09288031267123</v>
      </c>
      <c r="K18" s="3" t="n">
        <v>1557.8197993804</v>
      </c>
      <c r="L18" s="3" t="n">
        <v>-532.471585169438</v>
      </c>
      <c r="M18" s="3" t="n">
        <v>12.8164725242574</v>
      </c>
      <c r="N18" s="3" t="n">
        <v>16.0376857774132</v>
      </c>
      <c r="O18" s="3" t="n">
        <v>51.541749927203</v>
      </c>
    </row>
    <row r="19" customFormat="false" ht="15" hidden="false" customHeight="false" outlineLevel="0" collapsed="false">
      <c r="A19" s="2" t="n">
        <v>180</v>
      </c>
      <c r="B19" s="2" t="n">
        <v>17</v>
      </c>
      <c r="C19" s="3" t="n">
        <v>1413.52728328145</v>
      </c>
      <c r="D19" s="3" t="n">
        <v>993.514954703994</v>
      </c>
      <c r="E19" s="3" t="n">
        <v>1416.58515601014</v>
      </c>
      <c r="F19" s="3" t="n">
        <v>-738.199933063062</v>
      </c>
      <c r="G19" s="3" t="n">
        <v>-0.216329232895096</v>
      </c>
      <c r="H19" s="3" t="n">
        <v>29.7137758531562</v>
      </c>
      <c r="I19" s="3" t="n">
        <v>42.5831739424792</v>
      </c>
      <c r="J19" s="3" t="n">
        <v>-0.728043564588298</v>
      </c>
      <c r="K19" s="3" t="n">
        <v>1149.71599600715</v>
      </c>
      <c r="L19" s="3" t="n">
        <v>-279.406708061126</v>
      </c>
      <c r="M19" s="3" t="n">
        <v>18.6633318220694</v>
      </c>
      <c r="N19" s="3" t="n">
        <v>15.7220624172384</v>
      </c>
      <c r="O19" s="3" t="n">
        <v>62.8103675355919</v>
      </c>
    </row>
    <row r="20" customFormat="false" ht="15" hidden="false" customHeight="false" outlineLevel="0" collapsed="false">
      <c r="A20" s="2" t="n">
        <v>21</v>
      </c>
      <c r="B20" s="2" t="n">
        <v>18</v>
      </c>
      <c r="C20" s="3" t="n">
        <v>2390.57735161975</v>
      </c>
      <c r="D20" s="3" t="n">
        <v>1703.62422195388</v>
      </c>
      <c r="E20" s="3" t="n">
        <v>2358.34810621115</v>
      </c>
      <c r="F20" s="3" t="n">
        <v>-1053.30177693869</v>
      </c>
      <c r="G20" s="3" t="n">
        <v>1.34817831294009</v>
      </c>
      <c r="H20" s="3" t="n">
        <v>28.7358670574041</v>
      </c>
      <c r="I20" s="3" t="n">
        <v>38.4312382871832</v>
      </c>
      <c r="J20" s="3" t="n">
        <v>4.69162218159942</v>
      </c>
      <c r="K20" s="3" t="n">
        <v>2131.84346439016</v>
      </c>
      <c r="L20" s="3" t="n">
        <v>-952.736375800564</v>
      </c>
      <c r="M20" s="3" t="n">
        <v>10.8230711319289</v>
      </c>
      <c r="N20" s="3" t="n">
        <v>25.1357803509715</v>
      </c>
      <c r="O20" s="3" t="n">
        <v>37.6639796888963</v>
      </c>
    </row>
    <row r="21" customFormat="false" ht="15" hidden="false" customHeight="false" outlineLevel="0" collapsed="false">
      <c r="A21" s="2" t="n">
        <v>290</v>
      </c>
      <c r="B21" s="2" t="n">
        <v>19</v>
      </c>
      <c r="C21" s="3" t="n">
        <v>1694.84798811315</v>
      </c>
      <c r="D21" s="3" t="n">
        <v>1224.30809104506</v>
      </c>
      <c r="E21" s="3" t="n">
        <v>1591.45001813746</v>
      </c>
      <c r="F21" s="3" t="n">
        <v>-628.490471892563</v>
      </c>
      <c r="G21" s="3" t="n">
        <v>6.10072234801443</v>
      </c>
      <c r="H21" s="3" t="n">
        <v>27.7629557558103</v>
      </c>
      <c r="I21" s="3" t="n">
        <v>29.9877073244705</v>
      </c>
      <c r="J21" s="3" t="n">
        <v>21.9743257946793</v>
      </c>
      <c r="K21" s="3" t="n">
        <v>1431.32180299257</v>
      </c>
      <c r="L21" s="3" t="n">
        <v>-453.410337426998</v>
      </c>
      <c r="M21" s="3" t="n">
        <v>15.5486620020687</v>
      </c>
      <c r="N21" s="3" t="n">
        <v>16.9086289196059</v>
      </c>
      <c r="O21" s="3" t="n">
        <v>56.005067107506</v>
      </c>
    </row>
    <row r="22" customFormat="false" ht="15" hidden="false" customHeight="false" outlineLevel="0" collapsed="false">
      <c r="A22" s="2" t="n">
        <v>66</v>
      </c>
      <c r="B22" s="2" t="n">
        <v>20</v>
      </c>
      <c r="C22" s="3" t="n">
        <v>1084.45216867429</v>
      </c>
      <c r="D22" s="3" t="n">
        <v>845.941469786284</v>
      </c>
      <c r="E22" s="3" t="n">
        <v>1009.24580407652</v>
      </c>
      <c r="F22" s="3" t="n">
        <v>-189.612838104375</v>
      </c>
      <c r="G22" s="3" t="n">
        <v>6.93496373285938</v>
      </c>
      <c r="H22" s="3" t="n">
        <v>21.9936577912493</v>
      </c>
      <c r="I22" s="3" t="n">
        <v>19.3044483717641</v>
      </c>
      <c r="J22" s="3" t="n">
        <v>31.5316524367248</v>
      </c>
      <c r="K22" s="3" t="n">
        <v>973.178792101228</v>
      </c>
      <c r="L22" s="3" t="n">
        <v>-167.070955619812</v>
      </c>
      <c r="M22" s="3" t="n">
        <v>10.2607915579245</v>
      </c>
      <c r="N22" s="3" t="n">
        <v>15.0409132143728</v>
      </c>
      <c r="O22" s="3" t="n">
        <v>46.6534109756268</v>
      </c>
    </row>
    <row r="23" customFormat="false" ht="15" hidden="false" customHeight="false" outlineLevel="0" collapsed="false">
      <c r="A23" s="2" t="n">
        <v>240</v>
      </c>
      <c r="B23" s="2" t="n">
        <v>21</v>
      </c>
      <c r="C23" s="3" t="n">
        <v>1274.35826412494</v>
      </c>
      <c r="D23" s="3" t="n">
        <v>990.138977759821</v>
      </c>
      <c r="E23" s="3" t="n">
        <v>1225.25124266976</v>
      </c>
      <c r="F23" s="3" t="n">
        <v>-360.116237225251</v>
      </c>
      <c r="G23" s="3" t="n">
        <v>3.85347063205204</v>
      </c>
      <c r="H23" s="3" t="n">
        <v>22.3029342977021</v>
      </c>
      <c r="I23" s="3" t="n">
        <v>23.7453802133796</v>
      </c>
      <c r="J23" s="3" t="n">
        <v>17.2778638927752</v>
      </c>
      <c r="K23" s="3" t="n">
        <v>1129.12610824272</v>
      </c>
      <c r="L23" s="3" t="n">
        <v>-264.538028208313</v>
      </c>
      <c r="M23" s="3" t="n">
        <v>11.3964934328692</v>
      </c>
      <c r="N23" s="3" t="n">
        <v>14.0371335342595</v>
      </c>
      <c r="O23" s="3" t="n">
        <v>51.09862801346</v>
      </c>
    </row>
    <row r="24" customFormat="false" ht="15" hidden="false" customHeight="false" outlineLevel="0" collapsed="false">
      <c r="A24" s="2" t="n">
        <v>113</v>
      </c>
      <c r="B24" s="2" t="n">
        <v>22</v>
      </c>
      <c r="C24" s="3" t="n">
        <v>1567.89107727752</v>
      </c>
      <c r="D24" s="3" t="n">
        <v>1170.75969217716</v>
      </c>
      <c r="E24" s="3" t="n">
        <v>1496.51872344094</v>
      </c>
      <c r="F24" s="3" t="n">
        <v>-494.158412707251</v>
      </c>
      <c r="G24" s="3" t="n">
        <v>4.55212449837489</v>
      </c>
      <c r="H24" s="3" t="n">
        <v>25.3290162088261</v>
      </c>
      <c r="I24" s="3" t="n">
        <v>27.8245854756062</v>
      </c>
      <c r="J24" s="3" t="n">
        <v>17.9719751483623</v>
      </c>
      <c r="K24" s="3" t="n">
        <v>1360.64345349936</v>
      </c>
      <c r="L24" s="3" t="n">
        <v>-409.236368993751</v>
      </c>
      <c r="M24" s="3" t="n">
        <v>13.2182411636671</v>
      </c>
      <c r="N24" s="3" t="n">
        <v>16.2188502551785</v>
      </c>
      <c r="O24" s="3" t="n">
        <v>52.1861609416201</v>
      </c>
    </row>
    <row r="25" customFormat="false" ht="15" hidden="false" customHeight="false" outlineLevel="0" collapsed="false">
      <c r="A25" s="2" t="n">
        <v>67</v>
      </c>
      <c r="B25" s="2" t="n">
        <v>23</v>
      </c>
      <c r="C25" s="3" t="n">
        <v>1412.88576009246</v>
      </c>
      <c r="D25" s="3" t="n">
        <v>972.43156519652</v>
      </c>
      <c r="E25" s="3" t="n">
        <v>1220.05365649472</v>
      </c>
      <c r="F25" s="3" t="n">
        <v>-324.867745865813</v>
      </c>
      <c r="G25" s="3" t="n">
        <v>13.6481029849946</v>
      </c>
      <c r="H25" s="3" t="n">
        <v>31.1740840863963</v>
      </c>
      <c r="I25" s="3" t="n">
        <v>25.4642177568721</v>
      </c>
      <c r="J25" s="3" t="n">
        <v>43.7802854036386</v>
      </c>
      <c r="K25" s="3" t="n">
        <v>1130.41239310604</v>
      </c>
      <c r="L25" s="3" t="n">
        <v>-265.341956247876</v>
      </c>
      <c r="M25" s="3" t="n">
        <v>19.9926543932281</v>
      </c>
      <c r="N25" s="3" t="n">
        <v>16.2459584369412</v>
      </c>
      <c r="O25" s="3" t="n">
        <v>64.1322912256867</v>
      </c>
    </row>
    <row r="26" customFormat="false" ht="15" hidden="false" customHeight="false" outlineLevel="0" collapsed="false">
      <c r="A26" s="2" t="n">
        <v>5</v>
      </c>
      <c r="B26" s="2" t="n">
        <v>24</v>
      </c>
      <c r="C26" s="3" t="n">
        <v>1303.21458974295</v>
      </c>
      <c r="D26" s="3" t="n">
        <v>1038.65255730183</v>
      </c>
      <c r="E26" s="3" t="n">
        <v>1221.09754580297</v>
      </c>
      <c r="F26" s="3" t="n">
        <v>-487.520176683438</v>
      </c>
      <c r="G26" s="3" t="n">
        <v>6.30111453526464</v>
      </c>
      <c r="H26" s="3" t="n">
        <v>20.3007267201713</v>
      </c>
      <c r="I26" s="3" t="n">
        <v>17.5655455925592</v>
      </c>
      <c r="J26" s="3" t="n">
        <v>31.0388619191829</v>
      </c>
      <c r="K26" s="3" t="n">
        <v>1232.32705221318</v>
      </c>
      <c r="L26" s="3" t="n">
        <v>-329.038618189813</v>
      </c>
      <c r="M26" s="3" t="n">
        <v>5.43943707258149</v>
      </c>
      <c r="N26" s="3" t="n">
        <v>18.6467065959447</v>
      </c>
      <c r="O26" s="3" t="n">
        <v>26.7942973055084</v>
      </c>
    </row>
    <row r="27" customFormat="false" ht="15" hidden="false" customHeight="false" outlineLevel="0" collapsed="false">
      <c r="A27" s="2" t="n">
        <v>158</v>
      </c>
      <c r="B27" s="2" t="n">
        <v>25</v>
      </c>
      <c r="C27" s="3" t="n">
        <v>1890.1580147689</v>
      </c>
      <c r="D27" s="3" t="n">
        <v>1214.16431029882</v>
      </c>
      <c r="E27" s="3" t="n">
        <v>1645.7873421619</v>
      </c>
      <c r="F27" s="3" t="n">
        <v>-668.951299407877</v>
      </c>
      <c r="G27" s="3" t="n">
        <v>12.9285843139877</v>
      </c>
      <c r="H27" s="3" t="n">
        <v>35.7638726068483</v>
      </c>
      <c r="I27" s="3" t="n">
        <v>35.5489803317363</v>
      </c>
      <c r="J27" s="3" t="n">
        <v>36.1498444424949</v>
      </c>
      <c r="K27" s="3" t="n">
        <v>1582.18557376491</v>
      </c>
      <c r="L27" s="3" t="n">
        <v>-553.200194159749</v>
      </c>
      <c r="M27" s="3" t="n">
        <v>16.2934759209345</v>
      </c>
      <c r="N27" s="3" t="n">
        <v>30.310663914633</v>
      </c>
      <c r="O27" s="3" t="n">
        <v>45.5584776851447</v>
      </c>
    </row>
    <row r="28" customFormat="false" ht="15" hidden="false" customHeight="false" outlineLevel="0" collapsed="false">
      <c r="A28" s="2" t="n">
        <v>1</v>
      </c>
      <c r="B28" s="2" t="n">
        <v>26</v>
      </c>
      <c r="C28" s="3" t="n">
        <v>1294.98914896069</v>
      </c>
      <c r="D28" s="3" t="n">
        <v>784.81086648244</v>
      </c>
      <c r="E28" s="3" t="n">
        <v>1125.52330841414</v>
      </c>
      <c r="F28" s="3" t="n">
        <v>-923.286278315437</v>
      </c>
      <c r="G28" s="3" t="n">
        <v>13.0862749454357</v>
      </c>
      <c r="H28" s="3" t="n">
        <v>39.3963364780085</v>
      </c>
      <c r="I28" s="3" t="n">
        <v>43.413318607423</v>
      </c>
      <c r="J28" s="3" t="n">
        <v>33.2169844085392</v>
      </c>
      <c r="K28" s="3" t="n">
        <v>950.264729111843</v>
      </c>
      <c r="L28" s="3" t="n">
        <v>-159.749666251438</v>
      </c>
      <c r="M28" s="3" t="n">
        <v>26.6198693730764</v>
      </c>
      <c r="N28" s="3" t="n">
        <v>21.0820045562028</v>
      </c>
      <c r="O28" s="3" t="n">
        <v>67.5694030279591</v>
      </c>
    </row>
    <row r="29" customFormat="false" ht="15" hidden="false" customHeight="false" outlineLevel="0" collapsed="false">
      <c r="A29" s="2" t="n">
        <v>204</v>
      </c>
      <c r="B29" s="2" t="n">
        <v>27</v>
      </c>
      <c r="C29" s="3" t="n">
        <v>1336.01791050289</v>
      </c>
      <c r="D29" s="3" t="n">
        <v>1006.82138830251</v>
      </c>
      <c r="E29" s="3" t="n">
        <v>1275.71539115961</v>
      </c>
      <c r="F29" s="3" t="n">
        <v>-356.156330031373</v>
      </c>
      <c r="G29" s="3" t="n">
        <v>4.51360111786092</v>
      </c>
      <c r="H29" s="3" t="n">
        <v>24.6401279213741</v>
      </c>
      <c r="I29" s="3" t="n">
        <v>26.7072199678291</v>
      </c>
      <c r="J29" s="3" t="n">
        <v>18.3180912544922</v>
      </c>
      <c r="K29" s="3" t="n">
        <v>1141.81857463174</v>
      </c>
      <c r="L29" s="3" t="n">
        <v>-272.970819701437</v>
      </c>
      <c r="M29" s="3" t="n">
        <v>14.5356835671502</v>
      </c>
      <c r="N29" s="3" t="n">
        <v>13.4082557142369</v>
      </c>
      <c r="O29" s="3" t="n">
        <v>58.9919160060088</v>
      </c>
    </row>
    <row r="30" customFormat="false" ht="15" hidden="false" customHeight="false" outlineLevel="0" collapsed="false">
      <c r="A30" s="2" t="n">
        <v>247</v>
      </c>
      <c r="B30" s="2" t="n">
        <v>28</v>
      </c>
      <c r="C30" s="3" t="n">
        <v>1329.78417077367</v>
      </c>
      <c r="D30" s="3" t="n">
        <v>1018.9567301832</v>
      </c>
      <c r="E30" s="3" t="n">
        <v>1311.45023447207</v>
      </c>
      <c r="F30" s="3" t="n">
        <v>-386.990607101686</v>
      </c>
      <c r="G30" s="3" t="n">
        <v>1.37871518585881</v>
      </c>
      <c r="H30" s="3" t="n">
        <v>23.3742773768792</v>
      </c>
      <c r="I30" s="3" t="n">
        <v>28.7051938148816</v>
      </c>
      <c r="J30" s="3" t="n">
        <v>5.89842913057314</v>
      </c>
      <c r="K30" s="3" t="n">
        <v>1174.79958343411</v>
      </c>
      <c r="L30" s="3" t="n">
        <v>-314.583950202937</v>
      </c>
      <c r="M30" s="3" t="n">
        <v>11.6548678158339</v>
      </c>
      <c r="N30" s="3" t="n">
        <v>15.2943543758622</v>
      </c>
      <c r="O30" s="3" t="n">
        <v>49.8619385229098</v>
      </c>
    </row>
    <row r="31" customFormat="false" ht="15" hidden="false" customHeight="false" outlineLevel="0" collapsed="false">
      <c r="A31" s="2" t="n">
        <v>137</v>
      </c>
      <c r="B31" s="2" t="n">
        <v>29</v>
      </c>
      <c r="C31" s="3" t="n">
        <v>1779.27084506566</v>
      </c>
      <c r="D31" s="3" t="n">
        <v>1291.31056880743</v>
      </c>
      <c r="E31" s="3" t="n">
        <v>1736.00796797817</v>
      </c>
      <c r="F31" s="3" t="n">
        <v>-707.339190543063</v>
      </c>
      <c r="G31" s="3" t="n">
        <v>2.43149474446102</v>
      </c>
      <c r="H31" s="3" t="n">
        <v>27.4247328680431</v>
      </c>
      <c r="I31" s="3" t="n">
        <v>34.4376798202329</v>
      </c>
      <c r="J31" s="3" t="n">
        <v>8.86606537303537</v>
      </c>
      <c r="K31" s="3" t="n">
        <v>1581.1785079712</v>
      </c>
      <c r="L31" s="3" t="n">
        <v>-812.570778038684</v>
      </c>
      <c r="M31" s="3" t="n">
        <v>11.1333436190347</v>
      </c>
      <c r="N31" s="3" t="n">
        <v>22.4475773811308</v>
      </c>
      <c r="O31" s="3" t="n">
        <v>40.5959965867448</v>
      </c>
    </row>
    <row r="33" customFormat="false" ht="15" hidden="false" customHeight="false" outlineLevel="0" collapsed="false">
      <c r="A33" s="4" t="s">
        <v>15</v>
      </c>
    </row>
    <row r="34" customFormat="false" ht="15" hidden="false" customHeight="false" outlineLevel="0" collapsed="false">
      <c r="A34" s="5" t="s">
        <v>16</v>
      </c>
      <c r="B34" s="6" t="n">
        <f aca="false">AVERAGE(B2:B31)</f>
        <v>14.5</v>
      </c>
      <c r="C34" s="7" t="n">
        <f aca="false">AVERAGE(C2:C31)</f>
        <v>1553.83275385462</v>
      </c>
      <c r="D34" s="7" t="n">
        <f aca="false">AVERAGE(D2:D31)</f>
        <v>1145.10617217154</v>
      </c>
      <c r="E34" s="7" t="n">
        <f aca="false">AVERAGE(E2:E31)</f>
        <v>1508.0494913817</v>
      </c>
      <c r="F34" s="7" t="n">
        <f aca="false">AVERAGE(F2:F31)</f>
        <v>-670.765142670223</v>
      </c>
      <c r="G34" s="7" t="n">
        <f aca="false">AVERAGE(G2:G31)</f>
        <v>2.4139758148399</v>
      </c>
      <c r="H34" s="7" t="n">
        <f aca="false">AVERAGE(H2:H31)</f>
        <v>26.0523988370861</v>
      </c>
      <c r="I34" s="7" t="n">
        <f aca="false">AVERAGE(I2:I31)</f>
        <v>32.0032800542514</v>
      </c>
      <c r="J34" s="7" t="n">
        <f aca="false">AVERAGE(J2:J31)</f>
        <v>4.99097062858818</v>
      </c>
      <c r="K34" s="7" t="n">
        <f aca="false">AVERAGE(K2:K31)</f>
        <v>1344.52799119014</v>
      </c>
      <c r="L34" s="7" t="n">
        <f aca="false">AVERAGE(L2:L31)</f>
        <v>-416.764205050469</v>
      </c>
      <c r="M34" s="7" t="n">
        <f aca="false">AVERAGE(M2:M31)</f>
        <v>13.6392636117367</v>
      </c>
      <c r="N34" s="7" t="n">
        <f aca="false">AVERAGE(N2:N31)</f>
        <v>16.9542513392443</v>
      </c>
      <c r="O34" s="7" t="n">
        <f aca="false">AVERAGE(O2:O31)</f>
        <v>51.586629530084</v>
      </c>
    </row>
    <row r="35" customFormat="false" ht="15" hidden="false" customHeight="false" outlineLevel="0" collapsed="false">
      <c r="A35" s="5" t="s">
        <v>17</v>
      </c>
      <c r="B35" s="6" t="n">
        <f aca="false">MAX(B2:B31)</f>
        <v>29</v>
      </c>
      <c r="C35" s="7" t="n">
        <f aca="false">MAX(C2:C31)</f>
        <v>2865.22209653158</v>
      </c>
      <c r="D35" s="7" t="n">
        <f aca="false">MAX(D2:D31)</f>
        <v>2268.69336397533</v>
      </c>
      <c r="E35" s="7" t="n">
        <f aca="false">MAX(E2:E31)</f>
        <v>2800.53896436839</v>
      </c>
      <c r="F35" s="7" t="n">
        <f aca="false">MAX(F2:F31)</f>
        <v>-189.612838104375</v>
      </c>
      <c r="G35" s="7" t="n">
        <f aca="false">MAX(G2:G31)</f>
        <v>13.6481029849946</v>
      </c>
      <c r="H35" s="7" t="n">
        <f aca="false">MAX(H2:H31)</f>
        <v>39.3963364780085</v>
      </c>
      <c r="I35" s="7" t="n">
        <f aca="false">MAX(I2:I31)</f>
        <v>114.862486071143</v>
      </c>
      <c r="J35" s="7" t="n">
        <f aca="false">MAX(J2:J31)</f>
        <v>47.2446749883419</v>
      </c>
      <c r="K35" s="7" t="n">
        <f aca="false">MAX(K2:K31)</f>
        <v>2713.60452891359</v>
      </c>
      <c r="L35" s="7" t="n">
        <f aca="false">MAX(L2:L31)</f>
        <v>-147.511974447187</v>
      </c>
      <c r="M35" s="7" t="n">
        <f aca="false">MAX(M2:M31)</f>
        <v>26.6198693730764</v>
      </c>
      <c r="N35" s="7" t="n">
        <f aca="false">MAX(N2:N31)</f>
        <v>30.310663914633</v>
      </c>
      <c r="O35" s="7" t="n">
        <f aca="false">MAX(O2:O31)</f>
        <v>74.4706838922198</v>
      </c>
    </row>
    <row r="36" customFormat="false" ht="15" hidden="false" customHeight="false" outlineLevel="0" collapsed="false">
      <c r="A36" s="5" t="s">
        <v>18</v>
      </c>
      <c r="B36" s="6" t="n">
        <f aca="false">MIN(B2:B31)</f>
        <v>0</v>
      </c>
      <c r="C36" s="7" t="n">
        <f aca="false">MIN(C2:C31)</f>
        <v>1036.08306825964</v>
      </c>
      <c r="D36" s="7" t="n">
        <f aca="false">MIN(D2:D31)</f>
        <v>784.81086648244</v>
      </c>
      <c r="E36" s="7" t="n">
        <f aca="false">MIN(E2:E31)</f>
        <v>1009.24580407652</v>
      </c>
      <c r="F36" s="7" t="n">
        <f aca="false">MIN(F2:F31)</f>
        <v>-2833.63598875056</v>
      </c>
      <c r="G36" s="7" t="n">
        <f aca="false">MIN(G2:G31)</f>
        <v>-73.1298710622893</v>
      </c>
      <c r="H36" s="7" t="n">
        <f aca="false">MIN(H2:H31)</f>
        <v>19.4229415157358</v>
      </c>
      <c r="I36" s="7" t="n">
        <f aca="false">MIN(I2:I31)</f>
        <v>17.5655455925592</v>
      </c>
      <c r="J36" s="7" t="n">
        <f aca="false">MIN(J2:J31)</f>
        <v>-376.51285209834</v>
      </c>
      <c r="K36" s="7" t="n">
        <f aca="false">MIN(K2:K31)</f>
        <v>941.884422224984</v>
      </c>
      <c r="L36" s="7" t="n">
        <f aca="false">MIN(L2:L31)</f>
        <v>-1264.83704112775</v>
      </c>
      <c r="M36" s="7" t="n">
        <f aca="false">MIN(M2:M31)</f>
        <v>5.29165148494167</v>
      </c>
      <c r="N36" s="7" t="n">
        <f aca="false">MIN(N2:N31)</f>
        <v>9.93135943855175</v>
      </c>
      <c r="O36" s="7" t="n">
        <f aca="false">MIN(O2:O31)</f>
        <v>24.0294576304006</v>
      </c>
    </row>
    <row r="37" customFormat="false" ht="15" hidden="false" customHeight="false" outlineLevel="0" collapsed="false">
      <c r="A37" s="5" t="s">
        <v>19</v>
      </c>
      <c r="B37" s="6" t="n">
        <f aca="false">MEDIAN(B2:B31)</f>
        <v>14.5</v>
      </c>
      <c r="C37" s="7" t="n">
        <f aca="false">MEDIAN(C2:C31)</f>
        <v>1440.24524732434</v>
      </c>
      <c r="D37" s="7" t="n">
        <f aca="false">MEDIAN(D2:D31)</f>
        <v>1074.3471282969</v>
      </c>
      <c r="E37" s="7" t="n">
        <f aca="false">MEDIAN(E2:E31)</f>
        <v>1456.55193972554</v>
      </c>
      <c r="F37" s="7" t="n">
        <f aca="false">MEDIAN(F2:F31)</f>
        <v>-531.303033108595</v>
      </c>
      <c r="G37" s="7" t="n">
        <f aca="false">MEDIAN(G2:G31)</f>
        <v>4.53286280811791</v>
      </c>
      <c r="H37" s="7" t="n">
        <f aca="false">MEDIAN(H2:H31)</f>
        <v>25.0320141314058</v>
      </c>
      <c r="I37" s="7" t="n">
        <f aca="false">MEDIAN(I2:I31)</f>
        <v>27.2659027217176</v>
      </c>
      <c r="J37" s="7" t="n">
        <f aca="false">MEDIAN(J2:J31)</f>
        <v>18.5956688290981</v>
      </c>
      <c r="K37" s="7" t="n">
        <f aca="false">MEDIAN(K2:K31)</f>
        <v>1237.63431255144</v>
      </c>
      <c r="L37" s="7" t="n">
        <f aca="false">MEDIAN(L2:L31)</f>
        <v>-332.35565590125</v>
      </c>
      <c r="M37" s="7" t="n">
        <f aca="false">MEDIAN(M2:M31)</f>
        <v>13.0173568439622</v>
      </c>
      <c r="N37" s="7" t="n">
        <f aca="false">MEDIAN(N2:N31)</f>
        <v>16.1282680162958</v>
      </c>
      <c r="O37" s="7" t="n">
        <f aca="false">MEDIAN(O2:O31)</f>
        <v>51.8639554344115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2026-07-04T21:45:06Z</dcterms:created>
  <dc:creator>openpyxl</dc:creator>
  <dc:description/>
  <dc:language>en-US</dc:language>
  <cp:lastModifiedBy/>
  <dcterms:modified xsi:type="dcterms:W3CDTF">2026-07-04T21:45:06Z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